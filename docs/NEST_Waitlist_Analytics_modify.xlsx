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ing_Carousel" sheetId="1" state="visible" r:id="rId3"/>
    <sheet name="Realtime_Signups" sheetId="2" state="visible" r:id="rId4"/>
    <sheet name="Daily_Sync" sheetId="3" state="visible" r:id="rId5"/>
    <sheet name="City_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<sst xmlns="http://schemas.openxmlformats.org/spreadsheetml/2006/main" count="261" uniqueCount="173">
  <si>
    <t xml:space="preserve">NEST Waitlist - Marketing Carousel</t>
  </si>
  <si>
    <t xml:space="preserve">Slide-ready visuals &amp; metrics, auto-calculated from live data</t>
  </si>
  <si>
    <t xml:space="preserve">SLIDE 1 - Key Metrics</t>
  </si>
  <si>
    <t xml:space="preserve">TOTAL SIGNUPS</t>
  </si>
  <si>
    <t xml:space="preserve">TOP CITY</t>
  </si>
  <si>
    <t xml:space="preserve">TOTAL REFERRALS</t>
  </si>
  <si>
    <t xml:space="preserve">AVG WAITLIST POSITION</t>
  </si>
  <si>
    <t xml:space="preserve">SLIDE 2 - Waitlist Growth</t>
  </si>
  <si>
    <t xml:space="preserve">SLIDE 3 - Investor Type Breakdown</t>
  </si>
  <si>
    <t xml:space="preserve">SLIDE 4 - Waitlist Signups by City</t>
  </si>
  <si>
    <t xml:space="preserve">SLIDE 5 - Referral Stats + Call to Action</t>
  </si>
  <si>
    <t xml:space="preserve">Join the Waitlist!</t>
  </si>
  <si>
    <t xml:space="preserve">timestamp</t>
  </si>
  <si>
    <t xml:space="preserve">full_name</t>
  </si>
  <si>
    <t xml:space="preserve">email</t>
  </si>
  <si>
    <t xml:space="preserve">phone</t>
  </si>
  <si>
    <t xml:space="preserve">city</t>
  </si>
  <si>
    <t xml:space="preserve">investor_type</t>
  </si>
  <si>
    <t xml:space="preserve">referred_by</t>
  </si>
  <si>
    <t xml:space="preserve">referral_code</t>
  </si>
  <si>
    <t xml:space="preserve">waitlist_position</t>
  </si>
  <si>
    <t xml:space="preserve">source</t>
  </si>
  <si>
    <t xml:space="preserve">2026-06-22T20:18:28.672Z</t>
  </si>
  <si>
    <t xml:space="preserve">Abigail Orbunde </t>
  </si>
  <si>
    <t xml:space="preserve">abigailorbunde2@gmail.com</t>
  </si>
  <si>
    <t xml:space="preserve">08055267036</t>
  </si>
  <si>
    <t xml:space="preserve">Abuja</t>
  </si>
  <si>
    <t xml:space="preserve">first_time</t>
  </si>
  <si>
    <t xml:space="preserve">cf28ae1b</t>
  </si>
  <si>
    <t xml:space="preserve">web</t>
  </si>
  <si>
    <t xml:space="preserve">2026-06-22T20:55:59.970Z</t>
  </si>
  <si>
    <t xml:space="preserve">Iveren Ukaa</t>
  </si>
  <si>
    <t xml:space="preserve">iverenukaa@gmail.com</t>
  </si>
  <si>
    <t xml:space="preserve">07985390070</t>
  </si>
  <si>
    <t xml:space="preserve">Diaspora</t>
  </si>
  <si>
    <t xml:space="preserve">diaspora</t>
  </si>
  <si>
    <t xml:space="preserve">0d8cb91e</t>
  </si>
  <si>
    <t xml:space="preserve">2026-06-23T04:25:29.258Z</t>
  </si>
  <si>
    <t xml:space="preserve">Abubakar Chika Abdullahi </t>
  </si>
  <si>
    <t xml:space="preserve">abu642@gmail.com</t>
  </si>
  <si>
    <t xml:space="preserve">07039063558</t>
  </si>
  <si>
    <t xml:space="preserve">Other</t>
  </si>
  <si>
    <t xml:space="preserve">34a1f79a</t>
  </si>
  <si>
    <t xml:space="preserve">2026-06-23T11:11:34.838Z</t>
  </si>
  <si>
    <t xml:space="preserve">Adamu Musa</t>
  </si>
  <si>
    <t xml:space="preserve">adamumusa055@gmail.com</t>
  </si>
  <si>
    <t xml:space="preserve">07089618124</t>
  </si>
  <si>
    <t xml:space="preserve">bece5e7e</t>
  </si>
  <si>
    <t xml:space="preserve">2026-06-23T12:21:03.894Z</t>
  </si>
  <si>
    <t xml:space="preserve">Fakorede Akinwande alex</t>
  </si>
  <si>
    <t xml:space="preserve">akinwandealex95@gmail.com</t>
  </si>
  <si>
    <t xml:space="preserve">08126378786</t>
  </si>
  <si>
    <t xml:space="preserve">aaea7ab0</t>
  </si>
  <si>
    <t xml:space="preserve">2026-06-23T12:26:41.136Z</t>
  </si>
  <si>
    <t xml:space="preserve">alexdata2022@gmail.com</t>
  </si>
  <si>
    <t xml:space="preserve">0c19ffbb</t>
  </si>
  <si>
    <t xml:space="preserve">2026-06-23T12:28:33.560Z</t>
  </si>
  <si>
    <t xml:space="preserve">adamusua055@gmail.com</t>
  </si>
  <si>
    <t xml:space="preserve">07089616124</t>
  </si>
  <si>
    <t xml:space="preserve">aaa8c67b</t>
  </si>
  <si>
    <t xml:space="preserve">2026-06-23T12:43:26.619Z</t>
  </si>
  <si>
    <t xml:space="preserve">Utenwo-Ojo Abraham</t>
  </si>
  <si>
    <t xml:space="preserve">utenwojo2002@gmail.com</t>
  </si>
  <si>
    <t xml:space="preserve">07015400792</t>
  </si>
  <si>
    <t xml:space="preserve">f553ff4c</t>
  </si>
  <si>
    <t xml:space="preserve">2026-06-23T13:11:49.276Z</t>
  </si>
  <si>
    <t xml:space="preserve">Demi Full </t>
  </si>
  <si>
    <t xml:space="preserve">BergnaumKatrina@outlook.com</t>
  </si>
  <si>
    <t xml:space="preserve">09164531140</t>
  </si>
  <si>
    <t xml:space="preserve">bbc87cb8</t>
  </si>
  <si>
    <t xml:space="preserve">2026-06-23T13:14:00.338Z</t>
  </si>
  <si>
    <t xml:space="preserve">Sekinat Sanusi </t>
  </si>
  <si>
    <t xml:space="preserve">m.sanusek@gmail.com</t>
  </si>
  <si>
    <t xml:space="preserve">08089332323</t>
  </si>
  <si>
    <t xml:space="preserve">76438007</t>
  </si>
  <si>
    <t xml:space="preserve">2026-06-23T13:32:48.713Z</t>
  </si>
  <si>
    <t xml:space="preserve">Mubarak Galadima</t>
  </si>
  <si>
    <t xml:space="preserve">snagzy007@gmail.com</t>
  </si>
  <si>
    <t xml:space="preserve">08027512029</t>
  </si>
  <si>
    <t xml:space="preserve">c426254c</t>
  </si>
  <si>
    <t xml:space="preserve">2026-06-23T14:00:56.965Z</t>
  </si>
  <si>
    <t xml:space="preserve">Emmanuel Dantala Njeraba</t>
  </si>
  <si>
    <t xml:space="preserve">eamar3059@gmail.com</t>
  </si>
  <si>
    <t xml:space="preserve">09131082221</t>
  </si>
  <si>
    <t xml:space="preserve">faf2639b</t>
  </si>
  <si>
    <t xml:space="preserve">2026-06-23T19:05:13.055Z</t>
  </si>
  <si>
    <t xml:space="preserve">David Katchy</t>
  </si>
  <si>
    <t xml:space="preserve">davekatchy@gmail.com</t>
  </si>
  <si>
    <t xml:space="preserve">08178773726</t>
  </si>
  <si>
    <t xml:space="preserve">68e7df99</t>
  </si>
  <si>
    <t xml:space="preserve">2026-06-24T07:22:57.671Z</t>
  </si>
  <si>
    <t xml:space="preserve">Abdulkareem Abdulkareem</t>
  </si>
  <si>
    <t xml:space="preserve">appliedhomes@gmail.com</t>
  </si>
  <si>
    <t xml:space="preserve">08060969636</t>
  </si>
  <si>
    <t xml:space="preserve">Lagos</t>
  </si>
  <si>
    <t xml:space="preserve">3fc2cf4d</t>
  </si>
  <si>
    <t xml:space="preserve">2026-06-24T07:46:19.308Z</t>
  </si>
  <si>
    <t xml:space="preserve">Richard Oladipo</t>
  </si>
  <si>
    <t xml:space="preserve">richardladipo@gmail.com</t>
  </si>
  <si>
    <t xml:space="preserve">07030263693</t>
  </si>
  <si>
    <t xml:space="preserve">ba3a2b52</t>
  </si>
  <si>
    <t xml:space="preserve">2026-06-24T21:40:57.068Z</t>
  </si>
  <si>
    <t xml:space="preserve">Joseph Iwebi</t>
  </si>
  <si>
    <t xml:space="preserve">josephiwebi@yahoo.com</t>
  </si>
  <si>
    <t xml:space="preserve">07060425014</t>
  </si>
  <si>
    <t xml:space="preserve">Port Harcourt</t>
  </si>
  <si>
    <t xml:space="preserve">176ece29</t>
  </si>
  <si>
    <t xml:space="preserve">2026-06-25T00:20:13.925Z</t>
  </si>
  <si>
    <t xml:space="preserve">Torbem Chile</t>
  </si>
  <si>
    <t xml:space="preserve">torbemchile5@gmail.com</t>
  </si>
  <si>
    <t xml:space="preserve">08154801687</t>
  </si>
  <si>
    <t xml:space="preserve">existing_landlord</t>
  </si>
  <si>
    <t xml:space="preserve">f243018b</t>
  </si>
  <si>
    <t xml:space="preserve">2026-06-25T07:33:00.812Z</t>
  </si>
  <si>
    <t xml:space="preserve">Ngutor Ikpa</t>
  </si>
  <si>
    <t xml:space="preserve">client.os.structure@gmail.com</t>
  </si>
  <si>
    <t xml:space="preserve">08032492230</t>
  </si>
  <si>
    <t xml:space="preserve">ffe206ef</t>
  </si>
  <si>
    <t xml:space="preserve">2026-06-25T07:35:47.236Z</t>
  </si>
  <si>
    <t xml:space="preserve">Yekeh Everista Nkeiru</t>
  </si>
  <si>
    <t xml:space="preserve">evayeks@gmail.com</t>
  </si>
  <si>
    <t xml:space="preserve">07066880377</t>
  </si>
  <si>
    <t xml:space="preserve">bb98bd57</t>
  </si>
  <si>
    <t xml:space="preserve">2026-06-25T12:48:27.334Z</t>
  </si>
  <si>
    <t xml:space="preserve">Yusra Mohammed </t>
  </si>
  <si>
    <t xml:space="preserve">fymohammed@gmail.com</t>
  </si>
  <si>
    <t xml:space="preserve">08033023000</t>
  </si>
  <si>
    <t xml:space="preserve">5ab94c7a</t>
  </si>
  <si>
    <t xml:space="preserve">2026-06-26T06:51:27.179Z</t>
  </si>
  <si>
    <t xml:space="preserve">Margaret Ede Amoke </t>
  </si>
  <si>
    <t xml:space="preserve">talk2mummyamoke@gmail.com</t>
  </si>
  <si>
    <t xml:space="preserve">08112223311</t>
  </si>
  <si>
    <t xml:space="preserve">1c86f240</t>
  </si>
  <si>
    <t xml:space="preserve">2026-06-26T08:36:29.452Z</t>
  </si>
  <si>
    <t xml:space="preserve">Egeonu Chukwuma Nnamdi</t>
  </si>
  <si>
    <t xml:space="preserve">agrima7407e@gmail.com</t>
  </si>
  <si>
    <t xml:space="preserve">07034523725</t>
  </si>
  <si>
    <t xml:space="preserve">a1e64264</t>
  </si>
  <si>
    <t xml:space="preserve">2026-06-26T20:50:28.539Z</t>
  </si>
  <si>
    <t xml:space="preserve">Charlotte Rogers</t>
  </si>
  <si>
    <t xml:space="preserve">aphesisglobal@gmail.com</t>
  </si>
  <si>
    <t xml:space="preserve">08036327677</t>
  </si>
  <si>
    <t xml:space="preserve">854230eb</t>
  </si>
  <si>
    <t xml:space="preserve">2026-06-27T07:48:50.306Z</t>
  </si>
  <si>
    <t xml:space="preserve">Kon Friday </t>
  </si>
  <si>
    <t xml:space="preserve">fridaykon7@gmail.com</t>
  </si>
  <si>
    <t xml:space="preserve">09020624021</t>
  </si>
  <si>
    <t xml:space="preserve">c57a7953</t>
  </si>
  <si>
    <t xml:space="preserve">2026-06-27T11:27:14.842Z</t>
  </si>
  <si>
    <t xml:space="preserve">Adesuyi  Ayodeji</t>
  </si>
  <si>
    <t xml:space="preserve">samienator007@gmail.com</t>
  </si>
  <si>
    <t xml:space="preserve">08186209268</t>
  </si>
  <si>
    <t xml:space="preserve">07a3e347</t>
  </si>
  <si>
    <t xml:space="preserve">sync_date</t>
  </si>
  <si>
    <t xml:space="preserve">total_signups</t>
  </si>
  <si>
    <t xml:space="preserve">signups_today</t>
  </si>
  <si>
    <t xml:space="preserve">first_time_investors</t>
  </si>
  <si>
    <t xml:space="preserve">existing_landlords</t>
  </si>
  <si>
    <t xml:space="preserve">top_city</t>
  </si>
  <si>
    <t xml:space="preserve">total_referrals</t>
  </si>
  <si>
    <t xml:space="preserve">avg_position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</si>
  <si>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</si>
  <si>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</si>
  <si>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</si>
  <si>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</si>
  <si>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</si>
  <si>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</si>
  <si>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</si>
  <si>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</si>
  <si>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</si>
  <si>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</si>
  <si>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City</t>
  </si>
  <si>
    <t xml:space="preserve">Signups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</si>
</sst>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6600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3"/>
      <color rgb="FF2B2B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6"/>
      <color rgb="FFFF6600"/>
      <name val="Arial"/>
      <family val="0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6600"/>
        <bgColor rgb="FFFF9248"/>
      </patternFill>
    </fill>
    <fill>
      <patternFill patternType="solid">
        <fgColor rgb="FFFFA033"/>
        <bgColor rgb="FFFF924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D9B3"/>
      <rgbColor rgb="FFCCFFFF"/>
      <rgbColor rgb="FF660066"/>
      <rgbColor rgb="FFFF9248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80"/>
      <rgbColor rgb="FF4285F4"/>
      <rgbColor rgb="FF33CCCC"/>
      <rgbColor rgb="FF99CC00"/>
      <rgbColor rgb="FFFFCC00"/>
      <rgbColor rgb="FFFFA033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NEST Waitlist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Daily_Sync!B1</c:f>
              <c:strCache>
                <c:ptCount val="1"/>
                <c:pt idx="0">
                  <c:v>total_signups</c:v>
                </c:pt>
              </c:strCache>
            </c:strRef>
          </c:tx>
          <c:spPr>
            <a:solidFill>
              <a:srgbClr val="ff6600"/>
            </a:solidFill>
            <a:ln w="28080">
              <a:solidFill>
                <a:srgbClr val="ff6600"/>
              </a:solidFill>
              <a:round/>
            </a:ln>
          </c:spPr>
          <c:marker>
            <c:symbol val="circle"/>
            <c:size val="5"/>
            <c:spPr>
              <a:solidFill>
                <a:srgbClr val="ff66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Daily_Sync!$A$2:$A$11</c:f>
              <c:strCache>
                <c:ptCount val="10"/>
                <c:pt idx="0">
                  <c:v>2026-06-21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2026-06-27</c:v>
                </c:pt>
                <c:pt idx="7">
                  <c:v>2026-06-28</c:v>
                </c:pt>
                <c:pt idx="8">
                  <c:v>2026-06-29</c:v>
                </c:pt>
                <c:pt idx="9">
                  <c:v>2026-06-30</c:v>
                </c:pt>
              </c:strCache>
            </c:strRef>
          </c:cat>
          <c:val>
            <c:numRef>
              <c:f>Daily_Sync!$B$2:$B$11</c:f>
              <c:numCache>
                <c:formatCode>General</c:formatCode>
                <c:ptCount val="10"/>
                <c:pt idx="0">
                  <c:v>4</c:v>
                </c:pt>
                <c:pt idx="1">
                  <c:v>11</c:v>
                </c:pt>
                <c:pt idx="2">
                  <c:v>2</c:v>
                </c:pt>
                <c:pt idx="3">
                  <c:v>13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9949709"/>
        <c:axId val="87210822"/>
      </c:lineChart>
      <c:catAx>
        <c:axId val="699497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7210822"/>
        <c:crosses val="autoZero"/>
        <c:auto val="1"/>
        <c:lblAlgn val="ctr"/>
        <c:lblOffset val="100"/>
        <c:noMultiLvlLbl val="0"/>
      </c:catAx>
      <c:valAx>
        <c:axId val="8721082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Total Signups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99497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Investor Type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Daily_Sync!D1</c:f>
              <c:strCache>
                <c:ptCount val="1"/>
                <c:pt idx="0">
                  <c:v>first_time_investors</c:v>
                </c:pt>
              </c:strCache>
            </c:strRef>
          </c:tx>
          <c:spPr>
            <a:solidFill>
              <a:srgbClr val="ff66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Daily_Sync!$A$2:$A$11</c:f>
              <c:strCache>
                <c:ptCount val="10"/>
                <c:pt idx="0">
                  <c:v>2026-06-21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2026-06-27</c:v>
                </c:pt>
                <c:pt idx="7">
                  <c:v>2026-06-28</c:v>
                </c:pt>
                <c:pt idx="8">
                  <c:v>2026-06-29</c:v>
                </c:pt>
                <c:pt idx="9">
                  <c:v>2026-06-30</c:v>
                </c:pt>
              </c:strCache>
            </c:strRef>
          </c:cat>
          <c:val>
            <c:numRef>
              <c:f>Daily_Sync!$D$2:$D$11</c:f>
              <c:numCache>
                <c:formatCode>General</c:formatCode>
                <c:ptCount val="10"/>
                <c:pt idx="0">
                  <c:v>4</c:v>
                </c:pt>
                <c:pt idx="1">
                  <c:v>10</c:v>
                </c:pt>
                <c:pt idx="2">
                  <c:v>1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</c:numCache>
            </c:numRef>
          </c:val>
        </c:ser>
        <c:ser>
          <c:idx val="1"/>
          <c:order val="1"/>
          <c:tx>
            <c:strRef>
              <c:f>Daily_Sync!E1</c:f>
              <c:strCache>
                <c:ptCount val="1"/>
                <c:pt idx="0">
                  <c:v>existing_landlords</c:v>
                </c:pt>
              </c:strCache>
            </c:strRef>
          </c:tx>
          <c:spPr>
            <a:solidFill>
              <a:srgbClr val="ffa03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Daily_Sync!$A$2:$A$11</c:f>
              <c:strCache>
                <c:ptCount val="10"/>
                <c:pt idx="0">
                  <c:v>2026-06-21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2026-06-27</c:v>
                </c:pt>
                <c:pt idx="7">
                  <c:v>2026-06-28</c:v>
                </c:pt>
                <c:pt idx="8">
                  <c:v>2026-06-29</c:v>
                </c:pt>
                <c:pt idx="9">
                  <c:v>2026-06-30</c:v>
                </c:pt>
              </c:strCache>
            </c:strRef>
          </c:cat>
          <c:val>
            <c:numRef>
              <c:f>Daily_Sync!$E$2:$E$11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ser>
          <c:idx val="2"/>
          <c:order val="2"/>
          <c:tx>
            <c:strRef>
              <c:f>Daily_Sync!F1</c:f>
              <c:strCache>
                <c:ptCount val="1"/>
                <c:pt idx="0">
                  <c:v>diaspora</c:v>
                </c:pt>
              </c:strCache>
            </c:strRef>
          </c:tx>
          <c:spPr>
            <a:solidFill>
              <a:srgbClr val="ffd9b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Daily_Sync!$A$2:$A$11</c:f>
              <c:strCache>
                <c:ptCount val="10"/>
                <c:pt idx="0">
                  <c:v>2026-06-21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2026-06-27</c:v>
                </c:pt>
                <c:pt idx="7">
                  <c:v>2026-06-28</c:v>
                </c:pt>
                <c:pt idx="8">
                  <c:v>2026-06-29</c:v>
                </c:pt>
                <c:pt idx="9">
                  <c:v>2026-06-30</c:v>
                </c:pt>
              </c:strCache>
            </c:strRef>
          </c:cat>
          <c:val>
            <c:numRef>
              <c:f>Daily_Sync!$F$2:$F$11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gapWidth val="150"/>
        <c:overlap val="100"/>
        <c:axId val="2863531"/>
        <c:axId val="39351317"/>
      </c:barChart>
      <c:catAx>
        <c:axId val="28635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9351317"/>
        <c:crosses val="autoZero"/>
        <c:auto val="1"/>
        <c:lblAlgn val="ctr"/>
        <c:lblOffset val="100"/>
        <c:noMultiLvlLbl val="0"/>
      </c:catAx>
      <c:valAx>
        <c:axId val="3935131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Signups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8635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Waitlist Signups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City_Summary!B1</c:f>
              <c:strCache>
                <c:ptCount val="1"/>
                <c:pt idx="0">
                  <c:v>Signups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f66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a033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9b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fcc8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ff924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City_Summary!$A$2:$A$6</c:f>
              <c:strCache>
                <c:ptCount val="5"/>
                <c:pt idx="0">
                  <c:v>Abuja</c:v>
                </c:pt>
                <c:pt idx="1">
                  <c:v>Other</c:v>
                </c:pt>
                <c:pt idx="2">
                  <c:v>Diaspora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City_Summary!$B$2:$B$6</c:f>
              <c:numCache>
                <c:formatCode>General</c:formatCode>
                <c:ptCount val="5"/>
                <c:pt idx="0">
                  <c:v>11</c:v>
                </c:pt>
                <c:pt idx="1">
                  <c:v>9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41400</xdr:rowOff>
    </xdr:from>
    <xdr:to>
      <xdr:col>10</xdr:col>
      <xdr:colOff>164160</xdr:colOff>
      <xdr:row>33</xdr:row>
      <xdr:rowOff>720</xdr:rowOff>
    </xdr:to>
    <xdr:graphicFrame>
      <xdr:nvGraphicFramePr>
        <xdr:cNvPr id="0" name="Chart 1"/>
        <xdr:cNvGraphicFramePr/>
      </xdr:nvGraphicFramePr>
      <xdr:xfrm>
        <a:off x="211320" y="296244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34</xdr:row>
      <xdr:rowOff>26640</xdr:rowOff>
    </xdr:from>
    <xdr:to>
      <xdr:col>10</xdr:col>
      <xdr:colOff>164160</xdr:colOff>
      <xdr:row>54</xdr:row>
      <xdr:rowOff>176400</xdr:rowOff>
    </xdr:to>
    <xdr:graphicFrame>
      <xdr:nvGraphicFramePr>
        <xdr:cNvPr id="1" name="Chart 2"/>
        <xdr:cNvGraphicFramePr/>
      </xdr:nvGraphicFramePr>
      <xdr:xfrm>
        <a:off x="211320" y="715320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56</xdr:row>
      <xdr:rowOff>12240</xdr:rowOff>
    </xdr:from>
    <xdr:to>
      <xdr:col>7</xdr:col>
      <xdr:colOff>589320</xdr:colOff>
      <xdr:row>76</xdr:row>
      <xdr:rowOff>161640</xdr:rowOff>
    </xdr:to>
    <xdr:graphicFrame>
      <xdr:nvGraphicFramePr>
        <xdr:cNvPr id="2" name="Chart 3"/>
        <xdr:cNvGraphicFramePr/>
      </xdr:nvGraphicFramePr>
      <xdr:xfrm>
        <a:off x="211320" y="1134432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4"/>
    <col collapsed="false" customWidth="true" hidden="false" outlineLevel="0" max="6" min="5" style="0" width="14"/>
    <col collapsed="false" customWidth="true" hidden="false" outlineLevel="0" max="9" min="8" style="0" width="14"/>
    <col collapsed="false" customWidth="true" hidden="false" outlineLevel="0" max="12" min="11" style="0" width="14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7" customFormat="false" ht="27.75" hidden="false" customHeight="true" outlineLevel="0" collapsed="false">
      <c r="B7" s="4" t="s">
        <v>3</v>
      </c>
      <c r="C7" s="4"/>
      <c r="E7" s="5" t="s">
        <v>4</v>
      </c>
      <c r="F7" s="5"/>
      <c r="H7" s="4" t="s">
        <v>5</v>
      </c>
      <c r="I7" s="4"/>
      <c r="K7" s="5" t="s">
        <v>6</v>
      </c>
      <c r="L7" s="5"/>
    </row>
    <row r="8" customFormat="false" ht="27.75" hidden="false" customHeight="true" outlineLevel="0" collapsed="false">
      <c r="B8" s="6" t="n">
        <f aca="false">MAX(Daily_Sync!B2:B11)</f>
        <v>25</v>
      </c>
      <c r="C8" s="6"/>
      <c r="E8" s="7" t="str">
        <f aca="false">INDEX(City_Summary!A2:A6,MATCH(MAX(City_Summary!B2:B6),City_Summary!B2:B6,0))</f>
        <v>Abuja</v>
      </c>
      <c r="F8" s="7"/>
      <c r="H8" s="6" t="n">
        <f aca="false">MAX(Daily_Sync!H2:H11)</f>
        <v>2</v>
      </c>
      <c r="I8" s="6"/>
      <c r="K8" s="7" t="n">
        <f aca="false">ROUND(AVERAGE(Daily_Sync!I2:I11),0)</f>
        <v>29</v>
      </c>
      <c r="L8" s="7"/>
    </row>
    <row r="9" customFormat="false" ht="27.75" hidden="false" customHeight="true" outlineLevel="0" collapsed="false">
      <c r="B9" s="6"/>
      <c r="C9" s="6"/>
      <c r="E9" s="7"/>
      <c r="F9" s="7"/>
      <c r="H9" s="6"/>
      <c r="I9" s="6"/>
      <c r="K9" s="7"/>
      <c r="L9" s="7"/>
    </row>
    <row r="12" customFormat="false" ht="16.15" hidden="false" customHeight="false" outlineLevel="0" collapsed="false">
      <c r="B12" s="3" t="s">
        <v>7</v>
      </c>
    </row>
    <row r="34" customFormat="false" ht="16.15" hidden="false" customHeight="false" outlineLevel="0" collapsed="false">
      <c r="B34" s="3" t="s">
        <v>8</v>
      </c>
    </row>
    <row r="56" customFormat="false" ht="16.15" hidden="false" customHeight="false" outlineLevel="0" collapsed="false">
      <c r="B56" s="3" t="s">
        <v>9</v>
      </c>
    </row>
    <row r="78" customFormat="false" ht="16.15" hidden="false" customHeight="false" outlineLevel="0" collapsed="false">
      <c r="B78" s="3" t="s">
        <v>10</v>
      </c>
    </row>
    <row r="80" customFormat="false" ht="25.5" hidden="false" customHeight="true" outlineLevel="0" collapsed="false">
      <c r="B80" s="4" t="s">
        <v>5</v>
      </c>
      <c r="C80" s="4"/>
      <c r="E80" s="8" t="s">
        <v>11</v>
      </c>
      <c r="F80" s="8"/>
      <c r="G80" s="8"/>
      <c r="H80" s="8"/>
      <c r="I80" s="8"/>
      <c r="J80" s="8"/>
      <c r="K80" s="8"/>
    </row>
    <row r="81" customFormat="false" ht="25.5" hidden="false" customHeight="true" outlineLevel="0" collapsed="false">
      <c r="B81" s="6" t="n">
        <f aca="false">MAX(Daily_Sync!H2:H11)</f>
        <v>2</v>
      </c>
      <c r="C81" s="6"/>
      <c r="E81" s="8"/>
      <c r="F81" s="8"/>
      <c r="G81" s="8"/>
      <c r="H81" s="8"/>
      <c r="I81" s="8"/>
      <c r="J81" s="8"/>
      <c r="K81" s="8"/>
    </row>
    <row r="82" customFormat="false" ht="25.5" hidden="false" customHeight="true" outlineLevel="0" collapsed="false">
      <c r="B82" s="6"/>
      <c r="C82" s="6"/>
      <c r="E82" s="8"/>
      <c r="F82" s="8"/>
      <c r="G82" s="8"/>
      <c r="H82" s="8"/>
      <c r="I82" s="8"/>
      <c r="J82" s="8"/>
      <c r="K82" s="8"/>
    </row>
  </sheetData>
  <mergeCells count="11">
    <mergeCell ref="B7:C7"/>
    <mergeCell ref="E7:F7"/>
    <mergeCell ref="H7:I7"/>
    <mergeCell ref="K7:L7"/>
    <mergeCell ref="B8:C9"/>
    <mergeCell ref="E8:F9"/>
    <mergeCell ref="H8:I9"/>
    <mergeCell ref="K8:L9"/>
    <mergeCell ref="B80:C80"/>
    <mergeCell ref="E80:K82"/>
    <mergeCell ref="B81:C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1.5"/>
    <col collapsed="false" customWidth="true" hidden="false" outlineLevel="0" max="2" min="2" style="0" width="21.38"/>
    <col collapsed="false" customWidth="true" hidden="false" outlineLevel="0" max="3" min="3" style="0" width="24.63"/>
    <col collapsed="false" customWidth="true" hidden="false" outlineLevel="0" max="4" min="4" style="0" width="11.25"/>
    <col collapsed="false" customWidth="true" hidden="false" outlineLevel="0" max="5" min="5" style="0" width="5.88"/>
    <col collapsed="false" customWidth="true" hidden="false" outlineLevel="0" max="6" min="6" style="0" width="11.89"/>
    <col collapsed="false" customWidth="true" hidden="false" outlineLevel="0" max="7" min="7" style="0" width="10.13"/>
    <col collapsed="false" customWidth="true" hidden="false" outlineLevel="0" max="8" min="8" style="0" width="11.5"/>
    <col collapsed="false" customWidth="true" hidden="false" outlineLevel="0" max="9" min="9" style="0" width="14"/>
  </cols>
  <sheetData>
    <row r="1" customFormat="false" ht="15.75" hidden="false" customHeight="false" outlineLevel="0" collapsed="false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customFormat="false" ht="15.75" hidden="false" customHeight="false" outlineLevel="0" collapsed="false">
      <c r="A2" s="9" t="s">
        <v>22</v>
      </c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/>
      <c r="H2" s="9" t="s">
        <v>28</v>
      </c>
      <c r="I2" s="9" t="n">
        <v>5</v>
      </c>
      <c r="J2" s="9" t="s">
        <v>29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5.75" hidden="false" customHeight="false" outlineLevel="0" collapsed="false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/>
      <c r="H3" s="9" t="s">
        <v>36</v>
      </c>
      <c r="I3" s="9" t="n">
        <v>6</v>
      </c>
      <c r="J3" s="9" t="s">
        <v>29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customFormat="false" ht="15.75" hidden="false" customHeight="false" outlineLevel="0" collapsed="false">
      <c r="A4" s="9" t="s">
        <v>37</v>
      </c>
      <c r="B4" s="9" t="s">
        <v>38</v>
      </c>
      <c r="C4" s="9" t="s">
        <v>39</v>
      </c>
      <c r="D4" s="9" t="s">
        <v>40</v>
      </c>
      <c r="E4" s="9" t="s">
        <v>41</v>
      </c>
      <c r="F4" s="9" t="s">
        <v>27</v>
      </c>
      <c r="G4" s="9"/>
      <c r="H4" s="9" t="s">
        <v>42</v>
      </c>
      <c r="I4" s="9" t="n">
        <v>7</v>
      </c>
      <c r="J4" s="9" t="s">
        <v>29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5.75" hidden="false" customHeight="false" outlineLevel="0" collapsed="false">
      <c r="A5" s="9" t="s">
        <v>43</v>
      </c>
      <c r="B5" s="9" t="s">
        <v>44</v>
      </c>
      <c r="C5" s="9" t="s">
        <v>45</v>
      </c>
      <c r="D5" s="9" t="s">
        <v>46</v>
      </c>
      <c r="E5" s="9" t="s">
        <v>41</v>
      </c>
      <c r="F5" s="9" t="s">
        <v>27</v>
      </c>
      <c r="G5" s="9"/>
      <c r="H5" s="9" t="s">
        <v>47</v>
      </c>
      <c r="I5" s="9" t="n">
        <v>22</v>
      </c>
      <c r="J5" s="9" t="s">
        <v>29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customFormat="false" ht="15.75" hidden="false" customHeight="false" outlineLevel="0" collapsed="false">
      <c r="A6" s="9" t="s">
        <v>48</v>
      </c>
      <c r="B6" s="9" t="s">
        <v>49</v>
      </c>
      <c r="C6" s="9" t="s">
        <v>50</v>
      </c>
      <c r="D6" s="9" t="s">
        <v>51</v>
      </c>
      <c r="E6" s="9" t="s">
        <v>41</v>
      </c>
      <c r="F6" s="9" t="s">
        <v>27</v>
      </c>
      <c r="G6" s="9"/>
      <c r="H6" s="9" t="s">
        <v>52</v>
      </c>
      <c r="I6" s="9" t="n">
        <v>35</v>
      </c>
      <c r="J6" s="9" t="s">
        <v>29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5.75" hidden="false" customHeight="false" outlineLevel="0" collapsed="false">
      <c r="A7" s="9" t="s">
        <v>53</v>
      </c>
      <c r="B7" s="9" t="s">
        <v>49</v>
      </c>
      <c r="C7" s="9" t="s">
        <v>54</v>
      </c>
      <c r="D7" s="9" t="s">
        <v>51</v>
      </c>
      <c r="E7" s="9" t="s">
        <v>41</v>
      </c>
      <c r="F7" s="9" t="s">
        <v>27</v>
      </c>
      <c r="G7" s="9" t="s">
        <v>52</v>
      </c>
      <c r="H7" s="9" t="s">
        <v>55</v>
      </c>
      <c r="I7" s="9" t="n">
        <v>36</v>
      </c>
      <c r="J7" s="9" t="s">
        <v>29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.75" hidden="false" customHeight="false" outlineLevel="0" collapsed="false">
      <c r="A8" s="9" t="s">
        <v>56</v>
      </c>
      <c r="B8" s="9" t="s">
        <v>44</v>
      </c>
      <c r="C8" s="9" t="s">
        <v>57</v>
      </c>
      <c r="D8" s="9" t="s">
        <v>58</v>
      </c>
      <c r="E8" s="9" t="s">
        <v>41</v>
      </c>
      <c r="F8" s="9" t="s">
        <v>27</v>
      </c>
      <c r="G8" s="9"/>
      <c r="H8" s="9" t="s">
        <v>59</v>
      </c>
      <c r="I8" s="9" t="n">
        <v>37</v>
      </c>
      <c r="J8" s="9" t="s">
        <v>29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5.75" hidden="false" customHeight="false" outlineLevel="0" collapsed="false">
      <c r="A9" s="9" t="s">
        <v>60</v>
      </c>
      <c r="B9" s="9" t="s">
        <v>61</v>
      </c>
      <c r="C9" s="9" t="s">
        <v>62</v>
      </c>
      <c r="D9" s="9" t="s">
        <v>63</v>
      </c>
      <c r="E9" s="9" t="s">
        <v>26</v>
      </c>
      <c r="F9" s="9" t="s">
        <v>27</v>
      </c>
      <c r="G9" s="9"/>
      <c r="H9" s="9" t="s">
        <v>64</v>
      </c>
      <c r="I9" s="9" t="n">
        <v>42</v>
      </c>
      <c r="J9" s="9" t="s">
        <v>29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.75" hidden="false" customHeight="false" outlineLevel="0" collapsed="false">
      <c r="A10" s="9" t="s">
        <v>65</v>
      </c>
      <c r="B10" s="9" t="s">
        <v>66</v>
      </c>
      <c r="C10" s="9" t="s">
        <v>67</v>
      </c>
      <c r="D10" s="9" t="s">
        <v>68</v>
      </c>
      <c r="E10" s="9" t="s">
        <v>41</v>
      </c>
      <c r="F10" s="9" t="s">
        <v>27</v>
      </c>
      <c r="G10" s="9"/>
      <c r="H10" s="9" t="s">
        <v>69</v>
      </c>
      <c r="I10" s="9" t="n">
        <v>44</v>
      </c>
      <c r="J10" s="9" t="s">
        <v>29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5.75" hidden="false" customHeight="false" outlineLevel="0" collapsed="false">
      <c r="A11" s="9" t="s">
        <v>70</v>
      </c>
      <c r="B11" s="9" t="s">
        <v>71</v>
      </c>
      <c r="C11" s="9" t="s">
        <v>72</v>
      </c>
      <c r="D11" s="9" t="s">
        <v>73</v>
      </c>
      <c r="E11" s="9" t="s">
        <v>34</v>
      </c>
      <c r="F11" s="9" t="s">
        <v>35</v>
      </c>
      <c r="G11" s="9"/>
      <c r="H11" s="9" t="s">
        <v>74</v>
      </c>
      <c r="I11" s="9" t="n">
        <v>45</v>
      </c>
      <c r="J11" s="9" t="s">
        <v>29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5.75" hidden="false" customHeight="false" outlineLevel="0" collapsed="false">
      <c r="A12" s="9" t="s">
        <v>75</v>
      </c>
      <c r="B12" s="9" t="s">
        <v>76</v>
      </c>
      <c r="C12" s="9" t="s">
        <v>77</v>
      </c>
      <c r="D12" s="9" t="s">
        <v>78</v>
      </c>
      <c r="E12" s="9" t="s">
        <v>26</v>
      </c>
      <c r="F12" s="9" t="s">
        <v>27</v>
      </c>
      <c r="G12" s="9"/>
      <c r="H12" s="9" t="s">
        <v>79</v>
      </c>
      <c r="I12" s="9" t="n">
        <v>46</v>
      </c>
      <c r="J12" s="9" t="s">
        <v>29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5.75" hidden="false" customHeight="false" outlineLevel="0" collapsed="false">
      <c r="A13" s="9" t="s">
        <v>80</v>
      </c>
      <c r="B13" s="9" t="s">
        <v>81</v>
      </c>
      <c r="C13" s="9" t="s">
        <v>82</v>
      </c>
      <c r="D13" s="9" t="s">
        <v>83</v>
      </c>
      <c r="E13" s="9" t="s">
        <v>26</v>
      </c>
      <c r="F13" s="9" t="s">
        <v>27</v>
      </c>
      <c r="G13" s="9"/>
      <c r="H13" s="9" t="s">
        <v>84</v>
      </c>
      <c r="I13" s="9" t="n">
        <v>47</v>
      </c>
      <c r="J13" s="9" t="s">
        <v>29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5.75" hidden="false" customHeight="false" outlineLevel="0" collapsed="false">
      <c r="A14" s="9" t="s">
        <v>85</v>
      </c>
      <c r="B14" s="9" t="s">
        <v>86</v>
      </c>
      <c r="C14" s="9" t="s">
        <v>87</v>
      </c>
      <c r="D14" s="9" t="s">
        <v>88</v>
      </c>
      <c r="E14" s="9" t="s">
        <v>26</v>
      </c>
      <c r="F14" s="9" t="s">
        <v>27</v>
      </c>
      <c r="G14" s="9"/>
      <c r="H14" s="9" t="s">
        <v>89</v>
      </c>
      <c r="I14" s="9" t="n">
        <v>48</v>
      </c>
      <c r="J14" s="9" t="s">
        <v>29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5.75" hidden="false" customHeight="false" outlineLevel="0" collapsed="false">
      <c r="A15" s="9" t="s">
        <v>90</v>
      </c>
      <c r="B15" s="9" t="s">
        <v>91</v>
      </c>
      <c r="C15" s="9" t="s">
        <v>92</v>
      </c>
      <c r="D15" s="9" t="s">
        <v>93</v>
      </c>
      <c r="E15" s="9" t="s">
        <v>94</v>
      </c>
      <c r="F15" s="9" t="s">
        <v>27</v>
      </c>
      <c r="G15" s="9"/>
      <c r="H15" s="9" t="s">
        <v>95</v>
      </c>
      <c r="I15" s="9" t="n">
        <v>49</v>
      </c>
      <c r="J15" s="9" t="s">
        <v>29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5.75" hidden="false" customHeight="false" outlineLevel="0" collapsed="false">
      <c r="A16" s="9" t="s">
        <v>96</v>
      </c>
      <c r="B16" s="9" t="s">
        <v>97</v>
      </c>
      <c r="C16" s="9" t="s">
        <v>98</v>
      </c>
      <c r="D16" s="9" t="s">
        <v>99</v>
      </c>
      <c r="E16" s="9" t="s">
        <v>26</v>
      </c>
      <c r="F16" s="9" t="s">
        <v>27</v>
      </c>
      <c r="G16" s="9"/>
      <c r="H16" s="9" t="s">
        <v>100</v>
      </c>
      <c r="I16" s="9" t="n">
        <v>50</v>
      </c>
      <c r="J16" s="9" t="s">
        <v>29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5.75" hidden="false" customHeight="false" outlineLevel="0" collapsed="false">
      <c r="A17" s="9" t="s">
        <v>101</v>
      </c>
      <c r="B17" s="9" t="s">
        <v>102</v>
      </c>
      <c r="C17" s="9" t="s">
        <v>103</v>
      </c>
      <c r="D17" s="9" t="s">
        <v>104</v>
      </c>
      <c r="E17" s="9" t="s">
        <v>105</v>
      </c>
      <c r="F17" s="9" t="s">
        <v>27</v>
      </c>
      <c r="G17" s="9"/>
      <c r="H17" s="9" t="s">
        <v>106</v>
      </c>
      <c r="I17" s="9" t="n">
        <v>51</v>
      </c>
      <c r="J17" s="9" t="s">
        <v>29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5.75" hidden="false" customHeight="false" outlineLevel="0" collapsed="false">
      <c r="A18" s="9" t="s">
        <v>107</v>
      </c>
      <c r="B18" s="9" t="s">
        <v>108</v>
      </c>
      <c r="C18" s="9" t="s">
        <v>109</v>
      </c>
      <c r="D18" s="9" t="s">
        <v>110</v>
      </c>
      <c r="E18" s="9" t="s">
        <v>41</v>
      </c>
      <c r="F18" s="9" t="s">
        <v>111</v>
      </c>
      <c r="G18" s="9"/>
      <c r="H18" s="9" t="s">
        <v>112</v>
      </c>
      <c r="I18" s="9" t="n">
        <v>52</v>
      </c>
      <c r="J18" s="9" t="s">
        <v>29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5.75" hidden="false" customHeight="false" outlineLevel="0" collapsed="false">
      <c r="A19" s="9" t="s">
        <v>113</v>
      </c>
      <c r="B19" s="9" t="s">
        <v>114</v>
      </c>
      <c r="C19" s="9" t="s">
        <v>115</v>
      </c>
      <c r="D19" s="9" t="s">
        <v>116</v>
      </c>
      <c r="E19" s="9" t="s">
        <v>94</v>
      </c>
      <c r="F19" s="9" t="s">
        <v>27</v>
      </c>
      <c r="G19" s="9"/>
      <c r="H19" s="9" t="s">
        <v>117</v>
      </c>
      <c r="I19" s="9" t="n">
        <v>53</v>
      </c>
      <c r="J19" s="9" t="s">
        <v>29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5.75" hidden="false" customHeight="false" outlineLevel="0" collapsed="false">
      <c r="A20" s="9" t="s">
        <v>118</v>
      </c>
      <c r="B20" s="9" t="s">
        <v>119</v>
      </c>
      <c r="C20" s="9" t="s">
        <v>120</v>
      </c>
      <c r="D20" s="9" t="s">
        <v>121</v>
      </c>
      <c r="E20" s="9" t="s">
        <v>41</v>
      </c>
      <c r="F20" s="9" t="s">
        <v>27</v>
      </c>
      <c r="G20" s="9"/>
      <c r="H20" s="9" t="s">
        <v>122</v>
      </c>
      <c r="I20" s="9" t="n">
        <v>54</v>
      </c>
      <c r="J20" s="9" t="s">
        <v>29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5.75" hidden="false" customHeight="false" outlineLevel="0" collapsed="false">
      <c r="A21" s="9" t="s">
        <v>123</v>
      </c>
      <c r="B21" s="9" t="s">
        <v>124</v>
      </c>
      <c r="C21" s="9" t="s">
        <v>125</v>
      </c>
      <c r="D21" s="9" t="s">
        <v>126</v>
      </c>
      <c r="E21" s="9" t="s">
        <v>26</v>
      </c>
      <c r="F21" s="9" t="s">
        <v>27</v>
      </c>
      <c r="G21" s="9"/>
      <c r="H21" s="9" t="s">
        <v>127</v>
      </c>
      <c r="I21" s="9" t="n">
        <v>55</v>
      </c>
      <c r="J21" s="9" t="s">
        <v>29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5.75" hidden="false" customHeight="false" outlineLevel="0" collapsed="false">
      <c r="A22" s="9" t="s">
        <v>128</v>
      </c>
      <c r="B22" s="9" t="s">
        <v>129</v>
      </c>
      <c r="C22" s="9" t="s">
        <v>130</v>
      </c>
      <c r="D22" s="9" t="s">
        <v>131</v>
      </c>
      <c r="E22" s="9" t="s">
        <v>26</v>
      </c>
      <c r="F22" s="9" t="s">
        <v>27</v>
      </c>
      <c r="G22" s="9"/>
      <c r="H22" s="9" t="s">
        <v>132</v>
      </c>
      <c r="I22" s="9" t="n">
        <v>56</v>
      </c>
      <c r="J22" s="9" t="s">
        <v>29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5.75" hidden="false" customHeight="false" outlineLevel="0" collapsed="false">
      <c r="A23" s="9" t="s">
        <v>133</v>
      </c>
      <c r="B23" s="9" t="s">
        <v>134</v>
      </c>
      <c r="C23" s="9" t="s">
        <v>135</v>
      </c>
      <c r="D23" s="9" t="s">
        <v>136</v>
      </c>
      <c r="E23" s="9" t="s">
        <v>41</v>
      </c>
      <c r="F23" s="9" t="s">
        <v>27</v>
      </c>
      <c r="G23" s="9"/>
      <c r="H23" s="9" t="s">
        <v>137</v>
      </c>
      <c r="I23" s="9" t="n">
        <v>57</v>
      </c>
      <c r="J23" s="9" t="s">
        <v>29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5.75" hidden="false" customHeight="false" outlineLevel="0" collapsed="false">
      <c r="A24" s="9" t="s">
        <v>138</v>
      </c>
      <c r="B24" s="9" t="s">
        <v>139</v>
      </c>
      <c r="C24" s="9" t="s">
        <v>140</v>
      </c>
      <c r="D24" s="9" t="s">
        <v>141</v>
      </c>
      <c r="E24" s="9" t="s">
        <v>26</v>
      </c>
      <c r="F24" s="9" t="s">
        <v>27</v>
      </c>
      <c r="G24" s="9"/>
      <c r="H24" s="9" t="s">
        <v>142</v>
      </c>
      <c r="I24" s="9" t="n">
        <v>58</v>
      </c>
      <c r="J24" s="9" t="s">
        <v>29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5.75" hidden="false" customHeight="false" outlineLevel="0" collapsed="false">
      <c r="A25" s="9" t="s">
        <v>143</v>
      </c>
      <c r="B25" s="9" t="s">
        <v>144</v>
      </c>
      <c r="C25" s="9" t="s">
        <v>145</v>
      </c>
      <c r="D25" s="9" t="s">
        <v>146</v>
      </c>
      <c r="E25" s="9" t="s">
        <v>26</v>
      </c>
      <c r="F25" s="9" t="s">
        <v>27</v>
      </c>
      <c r="G25" s="9" t="s">
        <v>142</v>
      </c>
      <c r="H25" s="9" t="s">
        <v>147</v>
      </c>
      <c r="I25" s="9" t="n">
        <v>59</v>
      </c>
      <c r="J25" s="9" t="s">
        <v>29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5.75" hidden="false" customHeight="false" outlineLevel="0" collapsed="false">
      <c r="A26" s="9" t="s">
        <v>148</v>
      </c>
      <c r="B26" s="9" t="s">
        <v>149</v>
      </c>
      <c r="C26" s="9" t="s">
        <v>150</v>
      </c>
      <c r="D26" s="9" t="s">
        <v>151</v>
      </c>
      <c r="E26" s="9" t="s">
        <v>26</v>
      </c>
      <c r="F26" s="9" t="s">
        <v>27</v>
      </c>
      <c r="G26" s="9"/>
      <c r="H26" s="9" t="s">
        <v>152</v>
      </c>
      <c r="I26" s="9" t="n">
        <v>60</v>
      </c>
      <c r="J26" s="9" t="s">
        <v>29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5.7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customFormat="false" ht="15.7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customFormat="false" ht="15.7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customFormat="false" ht="15.7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customFormat="false" ht="15.7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customFormat="false" ht="15.7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customFormat="false" ht="15.7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customFormat="false" ht="15.7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customFormat="false" ht="15.7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customFormat="false" ht="15.7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customFormat="false" ht="15.7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customFormat="false" ht="15.7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customFormat="false" ht="15.7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customFormat="false" ht="15.7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9.13"/>
    <col collapsed="false" customWidth="true" hidden="false" outlineLevel="0" max="3" min="3" style="0" width="12.75"/>
    <col collapsed="false" customWidth="true" hidden="false" outlineLevel="0" max="4" min="4" style="0" width="16.89"/>
    <col collapsed="false" customWidth="true" hidden="false" outlineLevel="0" max="5" min="5" style="0" width="15.75"/>
    <col collapsed="false" customWidth="true" hidden="false" outlineLevel="0" max="6" min="6" style="0" width="8"/>
    <col collapsed="false" customWidth="true" hidden="false" outlineLevel="0" max="7" min="7" style="0" width="7.38"/>
  </cols>
  <sheetData>
    <row r="1" customFormat="false" ht="15.75" hidden="false" customHeight="false" outlineLevel="0" collapsed="false">
      <c r="A1" s="11" t="s">
        <v>153</v>
      </c>
      <c r="B1" s="11" t="s">
        <v>154</v>
      </c>
      <c r="C1" s="11" t="s">
        <v>155</v>
      </c>
      <c r="D1" s="11" t="s">
        <v>156</v>
      </c>
      <c r="E1" s="11" t="s">
        <v>157</v>
      </c>
      <c r="F1" s="11" t="s">
        <v>35</v>
      </c>
      <c r="G1" s="11" t="s">
        <v>158</v>
      </c>
      <c r="H1" s="11" t="s">
        <v>159</v>
      </c>
      <c r="I1" s="11" t="s">
        <v>160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5.75" hidden="false" customHeight="false" outlineLevel="0" collapsed="false">
      <c r="A2" s="11" t="s">
        <v>161</v>
      </c>
      <c r="B2" s="11" t="n">
        <v>4</v>
      </c>
      <c r="C2" s="11" t="n">
        <v>3</v>
      </c>
      <c r="D2" s="11" t="n">
        <v>4</v>
      </c>
      <c r="E2" s="11" t="n">
        <v>0</v>
      </c>
      <c r="F2" s="11" t="n">
        <v>0</v>
      </c>
      <c r="G2" s="11" t="s">
        <v>94</v>
      </c>
      <c r="H2" s="11" t="n">
        <v>0</v>
      </c>
      <c r="I2" s="11" t="n">
        <v>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15.75" hidden="false" customHeight="false" outlineLevel="0" collapsed="false">
      <c r="A3" s="11" t="s">
        <v>162</v>
      </c>
      <c r="B3" s="11" t="n">
        <v>11</v>
      </c>
      <c r="C3" s="11" t="n">
        <v>0</v>
      </c>
      <c r="D3" s="11" t="n">
        <v>10</v>
      </c>
      <c r="E3" s="11" t="n">
        <v>1</v>
      </c>
      <c r="F3" s="11" t="n">
        <v>0</v>
      </c>
      <c r="G3" s="11" t="s">
        <v>94</v>
      </c>
      <c r="H3" s="11" t="n">
        <v>0</v>
      </c>
      <c r="I3" s="11" t="n">
        <v>6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customFormat="false" ht="15.75" hidden="false" customHeight="false" outlineLevel="0" collapsed="false">
      <c r="A4" s="11" t="s">
        <v>163</v>
      </c>
      <c r="B4" s="11" t="n">
        <v>2</v>
      </c>
      <c r="C4" s="11" t="n">
        <v>0</v>
      </c>
      <c r="D4" s="11" t="n">
        <v>1</v>
      </c>
      <c r="E4" s="11" t="n">
        <v>0</v>
      </c>
      <c r="F4" s="11" t="n">
        <v>1</v>
      </c>
      <c r="G4" s="11" t="s">
        <v>26</v>
      </c>
      <c r="H4" s="11" t="n">
        <v>0</v>
      </c>
      <c r="I4" s="11" t="n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customFormat="false" ht="15.75" hidden="false" customHeight="false" outlineLevel="0" collapsed="false">
      <c r="A5" s="11" t="s">
        <v>164</v>
      </c>
      <c r="B5" s="11" t="n">
        <v>13</v>
      </c>
      <c r="C5" s="11" t="n">
        <v>0</v>
      </c>
      <c r="D5" s="11" t="n">
        <v>11</v>
      </c>
      <c r="E5" s="11" t="n">
        <v>0</v>
      </c>
      <c r="F5" s="11" t="n">
        <v>2</v>
      </c>
      <c r="G5" s="11" t="s">
        <v>41</v>
      </c>
      <c r="H5" s="11" t="n">
        <v>1</v>
      </c>
      <c r="I5" s="11" t="n">
        <v>32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customFormat="false" ht="15.75" hidden="false" customHeight="false" outlineLevel="0" collapsed="false">
      <c r="A6" s="11" t="s">
        <v>165</v>
      </c>
      <c r="B6" s="11" t="n">
        <v>17</v>
      </c>
      <c r="C6" s="11" t="n">
        <v>1</v>
      </c>
      <c r="D6" s="11" t="n">
        <v>14</v>
      </c>
      <c r="E6" s="11" t="n">
        <v>1</v>
      </c>
      <c r="F6" s="11" t="n">
        <v>2</v>
      </c>
      <c r="G6" s="11" t="s">
        <v>41</v>
      </c>
      <c r="H6" s="11" t="n">
        <v>1</v>
      </c>
      <c r="I6" s="11" t="n">
        <v>37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15.75" hidden="false" customHeight="false" outlineLevel="0" collapsed="false">
      <c r="A7" s="11" t="s">
        <v>166</v>
      </c>
      <c r="B7" s="11" t="n">
        <v>20</v>
      </c>
      <c r="C7" s="11" t="n">
        <v>0</v>
      </c>
      <c r="D7" s="11" t="n">
        <v>17</v>
      </c>
      <c r="E7" s="11" t="n">
        <v>1</v>
      </c>
      <c r="F7" s="11" t="n">
        <v>2</v>
      </c>
      <c r="G7" s="11" t="s">
        <v>41</v>
      </c>
      <c r="H7" s="11" t="n">
        <v>1</v>
      </c>
      <c r="I7" s="11" t="n">
        <v>39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customFormat="false" ht="15.75" hidden="false" customHeight="false" outlineLevel="0" collapsed="false">
      <c r="A8" s="11" t="s">
        <v>167</v>
      </c>
      <c r="B8" s="11" t="n">
        <v>23</v>
      </c>
      <c r="C8" s="11" t="n">
        <v>0</v>
      </c>
      <c r="D8" s="11" t="n">
        <v>20</v>
      </c>
      <c r="E8" s="11" t="n">
        <v>1</v>
      </c>
      <c r="F8" s="11" t="n">
        <v>2</v>
      </c>
      <c r="G8" s="11" t="s">
        <v>26</v>
      </c>
      <c r="H8" s="11" t="n">
        <v>1</v>
      </c>
      <c r="I8" s="11" t="n">
        <v>42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customFormat="false" ht="15.75" hidden="false" customHeight="false" outlineLevel="0" collapsed="false">
      <c r="A9" s="11" t="s">
        <v>168</v>
      </c>
      <c r="B9" s="11" t="n">
        <v>25</v>
      </c>
      <c r="C9" s="11" t="n">
        <v>0</v>
      </c>
      <c r="D9" s="11" t="n">
        <v>22</v>
      </c>
      <c r="E9" s="11" t="n">
        <v>1</v>
      </c>
      <c r="F9" s="11" t="n">
        <v>2</v>
      </c>
      <c r="G9" s="11" t="s">
        <v>26</v>
      </c>
      <c r="H9" s="11" t="n">
        <v>2</v>
      </c>
      <c r="I9" s="11" t="n">
        <v>43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customFormat="false" ht="15.75" hidden="false" customHeight="false" outlineLevel="0" collapsed="false">
      <c r="A10" s="11" t="s">
        <v>169</v>
      </c>
      <c r="B10" s="11" t="n">
        <v>25</v>
      </c>
      <c r="C10" s="11" t="n">
        <v>0</v>
      </c>
      <c r="D10" s="11" t="n">
        <v>22</v>
      </c>
      <c r="E10" s="11" t="n">
        <v>1</v>
      </c>
      <c r="F10" s="11" t="n">
        <v>2</v>
      </c>
      <c r="G10" s="11" t="s">
        <v>26</v>
      </c>
      <c r="H10" s="11" t="n">
        <v>2</v>
      </c>
      <c r="I10" s="11" t="n">
        <v>43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customFormat="false" ht="15.75" hidden="false" customHeight="false" outlineLevel="0" collapsed="false">
      <c r="A11" s="11" t="s">
        <v>170</v>
      </c>
      <c r="B11" s="11" t="n">
        <v>25</v>
      </c>
      <c r="C11" s="11" t="n">
        <v>0</v>
      </c>
      <c r="D11" s="11" t="n">
        <v>22</v>
      </c>
      <c r="E11" s="11" t="n">
        <v>1</v>
      </c>
      <c r="F11" s="11" t="n">
        <v>2</v>
      </c>
      <c r="G11" s="11" t="s">
        <v>26</v>
      </c>
      <c r="H11" s="11" t="n">
        <v>2</v>
      </c>
      <c r="I11" s="11" t="n">
        <v>43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2" t="s">
        <v>171</v>
      </c>
      <c r="B1" s="12" t="s">
        <v>172</v>
      </c>
    </row>
    <row r="2" customFormat="false" ht="15" hidden="false" customHeight="false" outlineLevel="0" collapsed="false">
      <c r="A2" s="0" t="s">
        <v>26</v>
      </c>
      <c r="B2" s="0" t="n">
        <f aca="false">COUNTIF(Realtime_Signups!E2:E26,A2)</f>
        <v>11</v>
      </c>
    </row>
    <row r="3" customFormat="false" ht="15" hidden="false" customHeight="false" outlineLevel="0" collapsed="false">
      <c r="A3" s="0" t="s">
        <v>41</v>
      </c>
      <c r="B3" s="0" t="n">
        <f aca="false">COUNTIF(Realtime_Signups!E2:E26,A3)</f>
        <v>9</v>
      </c>
    </row>
    <row r="4" customFormat="false" ht="15" hidden="false" customHeight="false" outlineLevel="0" collapsed="false">
      <c r="A4" s="0" t="s">
        <v>34</v>
      </c>
      <c r="B4" s="0" t="n">
        <f aca="false">COUNTIF(Realtime_Signups!E2:E26,A4)</f>
        <v>2</v>
      </c>
    </row>
    <row r="5" customFormat="false" ht="15" hidden="false" customHeight="false" outlineLevel="0" collapsed="false">
      <c r="A5" s="0" t="s">
        <v>94</v>
      </c>
      <c r="B5" s="0" t="n">
        <f aca="false">COUNTIF(Realtime_Signups!E2:E26,A5)</f>
        <v>2</v>
      </c>
    </row>
    <row r="6" customFormat="false" ht="15" hidden="false" customHeight="false" outlineLevel="0" collapsed="false">
      <c r="A6" s="0" t="s">
        <v>105</v>
      </c>
      <c r="B6" s="0" t="n">
        <f aca="false">COUNTIF(Realtime_Signups!E2:E26,A6)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2026-06-30T13:34:29Z</dcterms:created>
  <dc:creator>openpyxl</dc:creator>
  <dc:description/>
  <dc:language>en-US</dc:language>
  <cp:lastModifiedBy/>
  <dcterms:modified xsi:type="dcterms:W3CDTF">2026-06-30T13:34:30Z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